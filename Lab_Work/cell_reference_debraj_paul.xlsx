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braj Paul\Downloads\"/>
    </mc:Choice>
  </mc:AlternateContent>
  <xr:revisionPtr revIDLastSave="0" documentId="13_ncr:1_{1A8A5203-1948-4B86-890E-D7C81A3518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sk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<sst xmlns="http://schemas.openxmlformats.org/spreadsheetml/2006/main" count="61" uniqueCount="47">
  <si>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</si>
  <si>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</si>
  <si>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</si>
  <si>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</si>
  <si>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</si>
  <si>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</si>
  <si>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</si>
  <si>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</si>
  <si>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</si>
  <si>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</si>
  <si>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</si>
  <si>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1001</t>
  </si>
  <si>
    <t>Pen</t>
  </si>
  <si>
    <t>10</t>
  </si>
  <si>
    <t>5</t>
  </si>
  <si>
    <t>5%</t>
  </si>
  <si>
    <t>Amit</t>
  </si>
  <si>
    <t>1002</t>
  </si>
  <si>
    <t>Pencil</t>
  </si>
  <si>
    <t>0%</t>
  </si>
  <si>
    <t>Riya</t>
  </si>
  <si>
    <t>1003</t>
  </si>
  <si>
    <t>Notebook</t>
  </si>
  <si>
    <t>50</t>
  </si>
  <si>
    <t>3</t>
  </si>
  <si>
    <t>10%</t>
  </si>
  <si>
    <t>John</t>
  </si>
  <si>
    <t>1004</t>
  </si>
  <si>
    <t>Eraser</t>
  </si>
  <si>
    <t>20</t>
  </si>
  <si>
    <t>1005</t>
  </si>
  <si>
    <t>Marker</t>
  </si>
  <si>
    <t>25</t>
  </si>
  <si>
    <t>4</t>
  </si>
  <si>
    <t>1006</t>
  </si>
  <si>
    <t>Scale</t>
  </si>
  <si>
    <t>15</t>
  </si>
  <si>
    <t>6</t>
  </si>
  <si>
    <t>1007</t>
  </si>
  <si>
    <t>Sharpener</t>
  </si>
  <si>
    <t>8</t>
  </si>
  <si>
    <t>1008</t>
  </si>
  <si>
    <t>File</t>
  </si>
  <si>
    <t>40</t>
  </si>
  <si>
    <t>2</t>
  </si>
  <si>
    <t>Company Tax</t>
  </si>
  <si>
    <t>Shipping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</si>
</sst>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9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B16" sqref="B16"/>
    </sheetView>
  </sheetViews>
  <sheetFormatPr defaultRowHeight="14.4"/>
  <cols>
    <col min="1" max="1" width="7.88671875" bestFit="1" customWidth="1"/>
    <col min="2" max="2" width="9.21875" bestFit="1" customWidth="1"/>
    <col min="3" max="3" width="9.6640625" customWidth="1"/>
    <col min="4" max="4" width="8" bestFit="1" customWidth="1"/>
    <col min="5" max="5" width="10" bestFit="1" customWidth="1"/>
    <col min="6" max="6" width="10.6640625" bestFit="1" customWidth="1"/>
    <col min="7" max="7" width="9.6640625" bestFit="1" customWidth="1"/>
    <col min="8" max="8" width="15.109375" bestFit="1" customWidth="1"/>
    <col min="9" max="9" width="16.88671875" bestFit="1" customWidth="1"/>
    <col min="10" max="10" width="10.77734375" bestFit="1" customWidth="1"/>
    <col min="11" max="11" width="8.109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>
        <f>C2*D2</f>
        <v>50</v>
      </c>
      <c r="H2" s="2">
        <f>G2*E2</f>
        <v>2.5</v>
      </c>
      <c r="I2" s="2">
        <f>G2-H2</f>
        <v>47.5</v>
      </c>
      <c r="J2" s="2">
        <f>I2*$C$12</f>
        <v>8.5499999999999989</v>
      </c>
      <c r="K2" s="2">
        <f>I2+J2+$C$13</f>
        <v>76.05</v>
      </c>
    </row>
    <row r="3" spans="1:11">
      <c r="A3" s="2" t="s">
        <v>17</v>
      </c>
      <c r="B3" s="3" t="s">
        <v>18</v>
      </c>
      <c r="C3" s="2" t="s">
        <v>14</v>
      </c>
      <c r="D3" s="2" t="s">
        <v>13</v>
      </c>
      <c r="E3" s="2" t="s">
        <v>19</v>
      </c>
      <c r="F3" s="3" t="s">
        <v>20</v>
      </c>
      <c r="G3" s="2">
        <f t="shared" ref="G3:G9" si="0">C3*D3</f>
        <v>50</v>
      </c>
      <c r="H3" s="2">
        <f t="shared" ref="H3:H9" si="1">G3*E3</f>
        <v>0</v>
      </c>
      <c r="I3" s="2">
        <f t="shared" ref="I3:I9" si="2">G3-H3</f>
        <v>50</v>
      </c>
      <c r="J3" s="2">
        <f t="shared" ref="J3:J9" si="3">I3*$C$12</f>
        <v>9</v>
      </c>
      <c r="K3" s="2">
        <f t="shared" ref="K3:K9" si="4">I3+J3+$C$13</f>
        <v>79</v>
      </c>
    </row>
    <row r="4" spans="1:11">
      <c r="A4" s="2" t="s">
        <v>21</v>
      </c>
      <c r="B4" s="3" t="s">
        <v>22</v>
      </c>
      <c r="C4" s="2" t="s">
        <v>23</v>
      </c>
      <c r="D4" s="2" t="s">
        <v>24</v>
      </c>
      <c r="E4" s="2" t="s">
        <v>25</v>
      </c>
      <c r="F4" s="3" t="s">
        <v>26</v>
      </c>
      <c r="G4" s="2">
        <f t="shared" si="0"/>
        <v>150</v>
      </c>
      <c r="H4" s="2">
        <f t="shared" si="1"/>
        <v>15</v>
      </c>
      <c r="I4" s="2">
        <f t="shared" si="2"/>
        <v>135</v>
      </c>
      <c r="J4" s="2">
        <f t="shared" si="3"/>
        <v>24.3</v>
      </c>
      <c r="K4" s="2">
        <f t="shared" si="4"/>
        <v>179.3</v>
      </c>
    </row>
    <row r="5" spans="1:11">
      <c r="A5" s="2" t="s">
        <v>27</v>
      </c>
      <c r="B5" s="3" t="s">
        <v>28</v>
      </c>
      <c r="C5" s="2" t="s">
        <v>24</v>
      </c>
      <c r="D5" s="2" t="s">
        <v>29</v>
      </c>
      <c r="E5" s="2" t="s">
        <v>19</v>
      </c>
      <c r="F5" s="3" t="s">
        <v>16</v>
      </c>
      <c r="G5" s="2">
        <f t="shared" si="0"/>
        <v>60</v>
      </c>
      <c r="H5" s="2">
        <f t="shared" si="1"/>
        <v>0</v>
      </c>
      <c r="I5" s="2">
        <f t="shared" si="2"/>
        <v>60</v>
      </c>
      <c r="J5" s="2">
        <f t="shared" si="3"/>
        <v>10.799999999999999</v>
      </c>
      <c r="K5" s="2">
        <f t="shared" si="4"/>
        <v>90.8</v>
      </c>
    </row>
    <row r="6" spans="1:11">
      <c r="A6" s="2" t="s">
        <v>30</v>
      </c>
      <c r="B6" s="3" t="s">
        <v>31</v>
      </c>
      <c r="C6" s="2" t="s">
        <v>32</v>
      </c>
      <c r="D6" s="2" t="s">
        <v>33</v>
      </c>
      <c r="E6" s="2" t="s">
        <v>15</v>
      </c>
      <c r="F6" s="3" t="s">
        <v>20</v>
      </c>
      <c r="G6" s="2">
        <f t="shared" si="0"/>
        <v>100</v>
      </c>
      <c r="H6" s="2">
        <f t="shared" si="1"/>
        <v>5</v>
      </c>
      <c r="I6" s="2">
        <f t="shared" si="2"/>
        <v>95</v>
      </c>
      <c r="J6" s="2">
        <f t="shared" si="3"/>
        <v>17.099999999999998</v>
      </c>
      <c r="K6" s="2">
        <f t="shared" si="4"/>
        <v>132.1</v>
      </c>
    </row>
    <row r="7" spans="1:11">
      <c r="A7" s="2" t="s">
        <v>34</v>
      </c>
      <c r="B7" s="3" t="s">
        <v>35</v>
      </c>
      <c r="C7" s="2" t="s">
        <v>36</v>
      </c>
      <c r="D7" s="2" t="s">
        <v>37</v>
      </c>
      <c r="E7" s="2" t="s">
        <v>19</v>
      </c>
      <c r="F7" s="3" t="s">
        <v>26</v>
      </c>
      <c r="G7" s="2">
        <f t="shared" si="0"/>
        <v>90</v>
      </c>
      <c r="H7" s="2">
        <f t="shared" si="1"/>
        <v>0</v>
      </c>
      <c r="I7" s="2">
        <f t="shared" si="2"/>
        <v>90</v>
      </c>
      <c r="J7" s="2">
        <f t="shared" si="3"/>
        <v>16.2</v>
      </c>
      <c r="K7" s="2">
        <f t="shared" si="4"/>
        <v>126.2</v>
      </c>
    </row>
    <row r="8" spans="1:11">
      <c r="A8" s="2" t="s">
        <v>38</v>
      </c>
      <c r="B8" s="3" t="s">
        <v>39</v>
      </c>
      <c r="C8" s="2" t="s">
        <v>40</v>
      </c>
      <c r="D8" s="2" t="s">
        <v>40</v>
      </c>
      <c r="E8" s="2" t="s">
        <v>15</v>
      </c>
      <c r="F8" s="3" t="s">
        <v>16</v>
      </c>
      <c r="G8" s="2">
        <f t="shared" si="0"/>
        <v>64</v>
      </c>
      <c r="H8" s="2">
        <f t="shared" si="1"/>
        <v>3.2</v>
      </c>
      <c r="I8" s="2">
        <f t="shared" si="2"/>
        <v>60.8</v>
      </c>
      <c r="J8" s="2">
        <f t="shared" si="3"/>
        <v>10.943999999999999</v>
      </c>
      <c r="K8" s="2">
        <f t="shared" si="4"/>
        <v>91.744</v>
      </c>
    </row>
    <row r="9" spans="1:11">
      <c r="A9" s="2" t="s">
        <v>41</v>
      </c>
      <c r="B9" s="3" t="s">
        <v>42</v>
      </c>
      <c r="C9" s="2" t="s">
        <v>43</v>
      </c>
      <c r="D9" s="2" t="s">
        <v>44</v>
      </c>
      <c r="E9" s="2" t="s">
        <v>25</v>
      </c>
      <c r="F9" s="3" t="s">
        <v>20</v>
      </c>
      <c r="G9" s="2">
        <f t="shared" si="0"/>
        <v>80</v>
      </c>
      <c r="H9" s="2">
        <f t="shared" si="1"/>
        <v>8</v>
      </c>
      <c r="I9" s="2">
        <f t="shared" si="2"/>
        <v>72</v>
      </c>
      <c r="J9" s="2">
        <f t="shared" si="3"/>
        <v>12.959999999999999</v>
      </c>
      <c r="K9" s="2">
        <f t="shared" si="4"/>
        <v>104.96</v>
      </c>
    </row>
    <row r="12" spans="1:11">
      <c r="A12" s="4" t="s">
        <v>45</v>
      </c>
      <c r="B12" s="5"/>
      <c r="C12" s="6">
        <v>0.18</v>
      </c>
    </row>
    <row r="13" spans="1:11">
      <c r="A13" s="4" t="s">
        <v>46</v>
      </c>
      <c r="B13" s="5"/>
      <c r="C13" s="2">
        <v>20</v>
      </c>
    </row>
  </sheetData>
  <mergeCells count="2">
    <mergeCell ref="A12:B12"/>
    <mergeCell ref="A13:B13"/>
  </mergeCells>
  <pageMargins left="0.7" right="0.7" top="0.75" bottom="0.75" header="0.3" footer="0.3"/>
  <ignoredErrors>
    <ignoredError sqref="A1:K1 A3:F9 A2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1" sqref="A2:B11"/>
    </sheetView>
  </sheetViews>
  <sheetFormatPr defaultRowHeight="14.4"/>
  <cols>
    <col min="1" max="1" width="13.88671875" bestFit="1" customWidth="1"/>
  </cols>
  <sheetData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Debraj Paul</cp:lastModifiedBy>
  <dcterms:modified xsi:type="dcterms:W3CDTF">2026-07-28T06:35:51Z</dcterms:modified>
</cp:coreProperties>
</file>